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codeName="ЭтаКнига1" hidePivotFieldList="1"/>
  <mc:AlternateContent xmlns:mc="http://schemas.openxmlformats.org/markup-compatibility/2006">
    <mc:Choice Requires="x15">
      <x15ac:absPath xmlns:x15ac="http://schemas.microsoft.com/office/spreadsheetml/2010/11/ac" url="/Users/popovalexander/Documents/Нагрузочное тестирование/"/>
    </mc:Choice>
  </mc:AlternateContent>
  <xr:revisionPtr revIDLastSave="0" documentId="13_ncr:1_{E76A203F-1AB3-BA4D-BC1C-D0AE2340446A}" xr6:coauthVersionLast="47" xr6:coauthVersionMax="47" xr10:uidLastSave="{00000000-0000-0000-0000-000000000000}"/>
  <bookViews>
    <workbookView xWindow="8240" yWindow="2120" windowWidth="42960" windowHeight="22540" xr2:uid="{00000000-000D-0000-FFFF-FFFF00000000}"/>
  </bookViews>
  <sheets>
    <sheet name="Шаг 1" sheetId="1" r:id="rId1"/>
    <sheet name="Шаг 2" sheetId="2" r:id="rId2"/>
    <sheet name="Лист1" sheetId="3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C3" i="3"/>
  <c r="B15" i="3"/>
  <c r="D28" i="2"/>
  <c r="E28" i="2"/>
  <c r="F19" i="1"/>
  <c r="G19" i="1" s="1"/>
  <c r="F5" i="1"/>
  <c r="G5" i="1" s="1"/>
  <c r="F28" i="2" l="1"/>
  <c r="G28" i="2"/>
  <c r="E4" i="2"/>
  <c r="E5" i="2"/>
  <c r="E6" i="2"/>
  <c r="E7" i="2"/>
  <c r="E8" i="2"/>
  <c r="E9" i="2"/>
  <c r="H2" i="2" l="1"/>
  <c r="J6" i="2" l="1"/>
  <c r="J4" i="2"/>
  <c r="J5" i="2"/>
  <c r="J7" i="2"/>
  <c r="J8" i="2"/>
  <c r="J9" i="2"/>
  <c r="F8" i="2" l="1"/>
  <c r="F9" i="2"/>
  <c r="I8" i="2"/>
  <c r="I9" i="2"/>
  <c r="I4" i="2"/>
  <c r="I5" i="2"/>
  <c r="I6" i="2"/>
  <c r="I7" i="2"/>
  <c r="F4" i="2"/>
  <c r="F5" i="2"/>
  <c r="F6" i="2"/>
  <c r="F7" i="2"/>
  <c r="F29" i="1" l="1"/>
  <c r="G29" i="1" s="1"/>
  <c r="F25" i="1"/>
  <c r="G25" i="1" s="1"/>
  <c r="F28" i="1"/>
  <c r="G28" i="1" s="1"/>
  <c r="E24" i="2" s="1"/>
  <c r="G24" i="2" s="1"/>
  <c r="F27" i="1"/>
  <c r="G27" i="1" s="1"/>
  <c r="F26" i="1"/>
  <c r="G26" i="1" s="1"/>
  <c r="F3" i="1"/>
  <c r="G3" i="1" s="1"/>
  <c r="F4" i="1"/>
  <c r="G4" i="1" s="1"/>
  <c r="F6" i="1"/>
  <c r="G6" i="1" s="1"/>
  <c r="F31" i="1"/>
  <c r="G31" i="1" s="1"/>
  <c r="E25" i="2" s="1"/>
  <c r="G25" i="2" s="1"/>
  <c r="F34" i="1"/>
  <c r="G34" i="1" s="1"/>
  <c r="F30" i="1"/>
  <c r="G30" i="1" s="1"/>
  <c r="F33" i="1"/>
  <c r="G33" i="1" s="1"/>
  <c r="E27" i="2" s="1"/>
  <c r="G27" i="2" s="1"/>
  <c r="F32" i="1"/>
  <c r="G32" i="1" s="1"/>
  <c r="E26" i="2" s="1"/>
  <c r="G26" i="2" s="1"/>
  <c r="F23" i="1"/>
  <c r="G23" i="1" s="1"/>
  <c r="F24" i="1"/>
  <c r="G24" i="1" s="1"/>
  <c r="F22" i="1"/>
  <c r="G22" i="1" s="1"/>
  <c r="F21" i="1"/>
  <c r="G21" i="1" s="1"/>
  <c r="F11" i="1"/>
  <c r="G11" i="1" s="1"/>
  <c r="F7" i="1"/>
  <c r="G7" i="1" s="1"/>
  <c r="F10" i="1"/>
  <c r="G10" i="1" s="1"/>
  <c r="F12" i="1"/>
  <c r="G12" i="1" s="1"/>
  <c r="F9" i="1"/>
  <c r="G9" i="1" s="1"/>
  <c r="F8" i="1"/>
  <c r="G8" i="1" s="1"/>
  <c r="F18" i="1"/>
  <c r="G18" i="1" s="1"/>
  <c r="E22" i="2" s="1"/>
  <c r="F14" i="1"/>
  <c r="G14" i="1" s="1"/>
  <c r="F20" i="1"/>
  <c r="G20" i="1" s="1"/>
  <c r="F17" i="1"/>
  <c r="G17" i="1" s="1"/>
  <c r="F13" i="1"/>
  <c r="G13" i="1" s="1"/>
  <c r="F16" i="1"/>
  <c r="G16" i="1" s="1"/>
  <c r="F15" i="1"/>
  <c r="G15" i="1" s="1"/>
  <c r="G22" i="2" l="1"/>
  <c r="F22" i="2"/>
  <c r="F27" i="2"/>
  <c r="F24" i="2"/>
  <c r="F26" i="2"/>
  <c r="F25" i="2"/>
  <c r="E18" i="2"/>
  <c r="E21" i="2"/>
  <c r="G21" i="2" s="1"/>
  <c r="E23" i="2"/>
  <c r="G23" i="2" s="1"/>
  <c r="F18" i="2" l="1"/>
  <c r="G18" i="2"/>
  <c r="F21" i="2"/>
  <c r="F23" i="2"/>
  <c r="E20" i="2"/>
  <c r="G20" i="2" s="1"/>
  <c r="E19" i="2"/>
  <c r="G19" i="2" s="1"/>
  <c r="E17" i="2"/>
  <c r="G17" i="2" s="1"/>
  <c r="E16" i="2"/>
  <c r="G16" i="2" s="1"/>
  <c r="F19" i="2" l="1"/>
  <c r="F20" i="2"/>
  <c r="F17" i="2"/>
  <c r="F16" i="2"/>
</calcChain>
</file>

<file path=xl/sharedStrings.xml><?xml version="1.0" encoding="utf-8"?>
<sst xmlns="http://schemas.openxmlformats.org/spreadsheetml/2006/main" count="135" uniqueCount="37">
  <si>
    <t>Пользовательский сценарий</t>
  </si>
  <si>
    <t>Бизнес операция</t>
  </si>
  <si>
    <t>Пользовательские сценарии</t>
  </si>
  <si>
    <t>Pacing</t>
  </si>
  <si>
    <t>Think time
Общий на сценарий</t>
  </si>
  <si>
    <t>Интенсивность 
операций в час</t>
  </si>
  <si>
    <t>Бизнес операции</t>
  </si>
  <si>
    <t>Think time
на каждую операцию</t>
  </si>
  <si>
    <t>Число выполнений
сценария в мин</t>
  </si>
  <si>
    <t>Количество
операций</t>
  </si>
  <si>
    <t>Распределение
пользователей</t>
  </si>
  <si>
    <t>Количество
пользователей</t>
  </si>
  <si>
    <t>Интенсивность
операций в мин</t>
  </si>
  <si>
    <t>Соотвествие
расчетной интенсивности 
статистике</t>
  </si>
  <si>
    <t>Расчетная
интенсивность
запросов в час</t>
  </si>
  <si>
    <t>Статистическая
интенсивность
запросов в час</t>
  </si>
  <si>
    <t>Выборка уникальных
Пользовательских сценариев</t>
  </si>
  <si>
    <t>Выборка уникальных
Бизнес операций</t>
  </si>
  <si>
    <t>min Pacing
(Duration + Think time)</t>
  </si>
  <si>
    <t>Разница между
интенсивностями</t>
  </si>
  <si>
    <t>Duration</t>
  </si>
  <si>
    <t>Homepage</t>
  </si>
  <si>
    <t>Login</t>
  </si>
  <si>
    <t>Exit</t>
  </si>
  <si>
    <t>Ticket_search_without_purchase</t>
  </si>
  <si>
    <t>Ticket_button</t>
  </si>
  <si>
    <t>Find_flight</t>
  </si>
  <si>
    <t>Flight_selection</t>
  </si>
  <si>
    <t>Buy_ticket</t>
  </si>
  <si>
    <t>View_tickets</t>
  </si>
  <si>
    <t>View_purchased_tickets</t>
  </si>
  <si>
    <t>Delete_ticket</t>
  </si>
  <si>
    <t>User_registration</t>
  </si>
  <si>
    <t>Registration_tab</t>
  </si>
  <si>
    <t>Fill_in_data</t>
  </si>
  <si>
    <t>Continued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</si>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</sst>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&quot; сек&quot;"/>
    <numFmt numFmtId="165" formatCode="0.0&quot; Vus&quot;"/>
    <numFmt numFmtId="166" formatCode="0.0%"/>
    <numFmt numFmtId="167" formatCode="0.000&quot; сек&quot;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theme="1" tint="0.499984740745262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/>
    <xf numFmtId="9" fontId="2" fillId="0" borderId="0" xfId="0" applyNumberFormat="1" applyFont="1"/>
    <xf numFmtId="164" fontId="3" fillId="0" borderId="2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1" fontId="3" fillId="0" borderId="0" xfId="0" applyNumberFormat="1" applyFont="1"/>
    <xf numFmtId="0" fontId="3" fillId="0" borderId="0" xfId="0" applyFont="1"/>
    <xf numFmtId="164" fontId="3" fillId="0" borderId="0" xfId="0" applyNumberFormat="1" applyFont="1"/>
    <xf numFmtId="2" fontId="2" fillId="0" borderId="0" xfId="0" applyNumberFormat="1" applyFont="1"/>
    <xf numFmtId="166" fontId="2" fillId="0" borderId="1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7" fontId="3" fillId="0" borderId="2" xfId="0" applyNumberFormat="1" applyFont="1" applyBorder="1" applyAlignment="1">
      <alignment horizontal="center" vertical="center"/>
    </xf>
    <xf numFmtId="167" fontId="3" fillId="0" borderId="3" xfId="0" applyNumberFormat="1" applyFont="1" applyBorder="1" applyAlignment="1">
      <alignment horizontal="center" vertical="center"/>
    </xf>
    <xf numFmtId="0" fontId="5" fillId="0" borderId="0" xfId="0" applyFont="1"/>
    <xf numFmtId="1" fontId="0" fillId="0" borderId="0" xfId="0" applyNumberFormat="1"/>
    <xf numFmtId="1" fontId="0" fillId="0" borderId="0" xfId="0" applyNumberFormat="1" applyAlignment="1"/>
    <xf numFmtId="1" fontId="0" fillId="0" borderId="0" xfId="0" applyNumberFormat="1" applyFont="1" applyAlignment="1"/>
    <xf numFmtId="0" fontId="5" fillId="0" borderId="0" xfId="0" applyFont="1" applyAlignment="1">
      <alignment horizontal="left"/>
    </xf>
    <xf numFmtId="1" fontId="5" fillId="0" borderId="0" xfId="0" applyNumberFormat="1" applyFont="1"/>
    <xf numFmtId="1" fontId="7" fillId="0" borderId="0" xfId="0" applyNumberFormat="1" applyFont="1"/>
    <xf numFmtId="10" fontId="2" fillId="0" borderId="0" xfId="0" applyNumberFormat="1" applyFont="1"/>
    <xf numFmtId="0" fontId="3" fillId="0" borderId="4" xfId="0" applyFont="1" applyBorder="1" applyAlignment="1">
      <alignment horizontal="left"/>
    </xf>
    <xf numFmtId="1" fontId="3" fillId="0" borderId="5" xfId="0" applyNumberFormat="1" applyFont="1" applyBorder="1"/>
    <xf numFmtId="0" fontId="5" fillId="0" borderId="6" xfId="0" applyFont="1" applyBorder="1" applyAlignment="1">
      <alignment horizontal="left"/>
    </xf>
    <xf numFmtId="1" fontId="5" fillId="0" borderId="7" xfId="0" applyNumberFormat="1" applyFont="1" applyBorder="1"/>
    <xf numFmtId="9" fontId="0" fillId="0" borderId="0" xfId="1" applyFont="1"/>
  </cellXfs>
  <cellStyles count="2">
    <cellStyle name="Обычный" xfId="0" builtinId="0"/>
    <cellStyle name="Процентный" xfId="1" builtinId="5"/>
  </cellStyles>
  <dxfs count="47">
    <dxf>
      <font>
        <color rgb="FF9C0006"/>
      </font>
    </dxf>
    <dxf>
      <font>
        <i/>
      </font>
      <numFmt numFmtId="14" formatCode="0.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i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left" vertical="bottom" textRotation="0" wrapText="0" indent="0" justifyLastLine="0" shrinkToFit="0" readingOrder="0"/>
    </dxf>
    <dxf>
      <font>
        <i/>
      </font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5" formatCode="0.0&quot; Vus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7" formatCode="0.00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theme="0" tint="-0.14999847407452621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 val="0"/>
      </font>
    </dxf>
    <dxf>
      <font>
        <i/>
      </font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/>
      </font>
      <numFmt numFmtId="1" formatCode="0"/>
    </dxf>
    <dxf>
      <font>
        <i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</dxf>
    <dxf>
      <font>
        <i/>
        <color theme="7" tint="-0.249977111117893"/>
      </font>
      <numFmt numFmtId="0" formatCode="General"/>
      <fill>
        <patternFill patternType="none">
          <fgColor indexed="64"/>
          <bgColor auto="1"/>
        </patternFill>
      </fill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</font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opov Alexander" refreshedDate="45801.831360648146" createdVersion="5" refreshedVersion="8" minRefreshableVersion="3" recordCount="32" xr:uid="{00000000-000A-0000-FFFF-FFFF04000000}">
  <cacheSource type="worksheet">
    <worksheetSource name="Таблица13"/>
  </cacheSource>
  <cacheFields count="6">
    <cacheField name="Пользовательский сценарий" numFmtId="0">
      <sharedItems containsBlank="1" count="14">
        <s v="Login"/>
        <s v="Ticket_search_without_purchase"/>
        <s v="Buy_ticket"/>
        <s v="View_tickets"/>
        <s v="Delete_ticket"/>
        <s v="User_registration"/>
        <s v="Просмотр списка путевых листов" u="1"/>
        <s v="Удаление существующего бронирования" u="1"/>
        <s v="Регистрация нового пользователя" u="1"/>
        <s v="Login-Logout" u="1"/>
        <s v="Поиск билета без оплаты" u="1"/>
        <s v="Покупка билета" u="1"/>
        <s v="Логин-Логаут" u="1"/>
        <m u="1"/>
      </sharedItems>
    </cacheField>
    <cacheField name="Бизнес операция" numFmtId="0">
      <sharedItems containsBlank="1" count="27">
        <s v="Homepage"/>
        <s v="Login"/>
        <s v="Ticket_button"/>
        <s v="Exit"/>
        <s v="Find_flight"/>
        <s v="Flight_selection"/>
        <s v="Buy_ticket"/>
        <s v="View_purchased_tickets"/>
        <s v="Delete_ticket"/>
        <s v="Registration_tab"/>
        <s v="Fill_in_data"/>
        <s v="Continued"/>
        <s v="Домашняя страница" u="1"/>
        <s v="Логин" u="1"/>
        <s v="Вкладка путевых листов" u="1"/>
        <s v="Выход" u="1"/>
        <s v="Удаление бронирования" u="1"/>
        <s v="Вкладка регистрация" u="1"/>
        <s v="Заполнить карточку" u="1"/>
        <s v="Продолжить" u="1"/>
        <s v="Вкладка билетов" u="1"/>
        <s v="Поиск билетов" u="1"/>
        <s v="Выбор билета" u="1"/>
        <s v="Покупка билета" u="1"/>
        <m u="1"/>
        <s v="аня" u="1"/>
        <s v="папа" u="1"/>
      </sharedItems>
    </cacheField>
    <cacheField name="Количество_x000a_операций" numFmtId="0">
      <sharedItems containsSemiMixedTypes="0" containsString="0" containsNumber="1" containsInteger="1" minValue="0" maxValue="1"/>
    </cacheField>
    <cacheField name="Think time_x000a_на каждую операцию" numFmtId="164">
      <sharedItems containsSemiMixedTypes="0" containsString="0" containsNumber="1" containsInteger="1" minValue="5" maxValue="5"/>
    </cacheField>
    <cacheField name="Интенсивность_x000a_операций в мин" numFmtId="2">
      <sharedItems containsSemiMixedTypes="0" containsString="0" containsNumber="1" minValue="0" maxValue="2.8125"/>
    </cacheField>
    <cacheField name="Интенсивность _x000a_операций в час" numFmtId="1">
      <sharedItems containsSemiMixedTypes="0" containsString="0" containsNumber="1" minValue="0" maxValue="168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n v="1"/>
    <n v="5"/>
    <n v="0.89552238805970152"/>
    <n v="53.731343283582092"/>
  </r>
  <r>
    <x v="0"/>
    <x v="1"/>
    <n v="1"/>
    <n v="5"/>
    <n v="0.89552238805970152"/>
    <n v="53.731343283582092"/>
  </r>
  <r>
    <x v="0"/>
    <x v="2"/>
    <n v="1"/>
    <n v="5"/>
    <n v="0.89552238805970152"/>
    <n v="53.731343283582092"/>
  </r>
  <r>
    <x v="0"/>
    <x v="3"/>
    <n v="0"/>
    <n v="5"/>
    <n v="0"/>
    <n v="0"/>
  </r>
  <r>
    <x v="1"/>
    <x v="0"/>
    <n v="1"/>
    <n v="5"/>
    <n v="1.6438356164383561"/>
    <n v="98.630136986301366"/>
  </r>
  <r>
    <x v="1"/>
    <x v="1"/>
    <n v="1"/>
    <n v="5"/>
    <n v="1.6438356164383561"/>
    <n v="98.630136986301366"/>
  </r>
  <r>
    <x v="1"/>
    <x v="2"/>
    <n v="1"/>
    <n v="5"/>
    <n v="1.6438356164383561"/>
    <n v="98.630136986301366"/>
  </r>
  <r>
    <x v="1"/>
    <x v="4"/>
    <n v="1"/>
    <n v="5"/>
    <n v="1.6438356164383561"/>
    <n v="98.630136986301366"/>
  </r>
  <r>
    <x v="1"/>
    <x v="5"/>
    <n v="1"/>
    <n v="5"/>
    <n v="1.6438356164383561"/>
    <n v="98.630136986301366"/>
  </r>
  <r>
    <x v="1"/>
    <x v="3"/>
    <n v="1"/>
    <n v="5"/>
    <n v="1.6438356164383561"/>
    <n v="98.630136986301366"/>
  </r>
  <r>
    <x v="2"/>
    <x v="0"/>
    <n v="1"/>
    <n v="5"/>
    <n v="2.8125"/>
    <n v="168.75"/>
  </r>
  <r>
    <x v="2"/>
    <x v="1"/>
    <n v="1"/>
    <n v="5"/>
    <n v="2.8125"/>
    <n v="168.75"/>
  </r>
  <r>
    <x v="2"/>
    <x v="2"/>
    <n v="1"/>
    <n v="5"/>
    <n v="2.8125"/>
    <n v="168.75"/>
  </r>
  <r>
    <x v="2"/>
    <x v="4"/>
    <n v="1"/>
    <n v="5"/>
    <n v="2.8125"/>
    <n v="168.75"/>
  </r>
  <r>
    <x v="2"/>
    <x v="5"/>
    <n v="1"/>
    <n v="5"/>
    <n v="2.8125"/>
    <n v="168.75"/>
  </r>
  <r>
    <x v="2"/>
    <x v="6"/>
    <n v="1"/>
    <n v="5"/>
    <n v="2.8125"/>
    <n v="168.75"/>
  </r>
  <r>
    <x v="2"/>
    <x v="7"/>
    <n v="1"/>
    <n v="5"/>
    <n v="2.8125"/>
    <n v="168.75"/>
  </r>
  <r>
    <x v="2"/>
    <x v="3"/>
    <n v="0"/>
    <n v="5"/>
    <n v="0"/>
    <n v="0"/>
  </r>
  <r>
    <x v="3"/>
    <x v="0"/>
    <n v="1"/>
    <n v="5"/>
    <n v="0.82191780821917804"/>
    <n v="49.315068493150683"/>
  </r>
  <r>
    <x v="3"/>
    <x v="1"/>
    <n v="1"/>
    <n v="5"/>
    <n v="0.82191780821917804"/>
    <n v="49.315068493150683"/>
  </r>
  <r>
    <x v="3"/>
    <x v="7"/>
    <n v="1"/>
    <n v="5"/>
    <n v="0.82191780821917804"/>
    <n v="49.315068493150683"/>
  </r>
  <r>
    <x v="3"/>
    <x v="3"/>
    <n v="1"/>
    <n v="5"/>
    <n v="0.82191780821917804"/>
    <n v="49.315068493150683"/>
  </r>
  <r>
    <x v="4"/>
    <x v="0"/>
    <n v="1"/>
    <n v="5"/>
    <n v="1.2244897959183674"/>
    <n v="73.469387755102048"/>
  </r>
  <r>
    <x v="4"/>
    <x v="1"/>
    <n v="1"/>
    <n v="5"/>
    <n v="1.2244897959183674"/>
    <n v="73.469387755102048"/>
  </r>
  <r>
    <x v="4"/>
    <x v="7"/>
    <n v="1"/>
    <n v="5"/>
    <n v="1.2244897959183674"/>
    <n v="73.469387755102048"/>
  </r>
  <r>
    <x v="4"/>
    <x v="8"/>
    <n v="1"/>
    <n v="5"/>
    <n v="1.2244897959183674"/>
    <n v="73.469387755102048"/>
  </r>
  <r>
    <x v="4"/>
    <x v="3"/>
    <n v="1"/>
    <n v="5"/>
    <n v="1.2244897959183674"/>
    <n v="73.469387755102048"/>
  </r>
  <r>
    <x v="5"/>
    <x v="0"/>
    <n v="1"/>
    <n v="5"/>
    <n v="1.6216216216216217"/>
    <n v="97.297297297297305"/>
  </r>
  <r>
    <x v="5"/>
    <x v="9"/>
    <n v="1"/>
    <n v="5"/>
    <n v="1.6216216216216217"/>
    <n v="97.297297297297305"/>
  </r>
  <r>
    <x v="5"/>
    <x v="10"/>
    <n v="1"/>
    <n v="5"/>
    <n v="1.6216216216216217"/>
    <n v="97.297297297297305"/>
  </r>
  <r>
    <x v="5"/>
    <x v="11"/>
    <n v="1"/>
    <n v="5"/>
    <n v="1.6216216216216217"/>
    <n v="97.297297297297305"/>
  </r>
  <r>
    <x v="5"/>
    <x v="3"/>
    <n v="1"/>
    <n v="5"/>
    <n v="1.6216216216216217"/>
    <n v="97.2972972972973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Таблица3" cacheId="5" applyNumberFormats="0" applyBorderFormats="0" applyFontFormats="0" applyPatternFormats="0" applyAlignmentFormats="0" applyWidthHeightFormats="1" dataCaption="Значения" updatedVersion="8" minRefreshableVersion="3" useAutoFormatting="1" rowGrandTotals="0" colGrandTotals="0" itemPrintTitles="1" createdVersion="5" indent="0" outline="1" outlineData="1" multipleFieldFilters="0" rowHeaderCaption="Выборка уникальных_x000a_Пользовательских сценариев">
  <location ref="B3:B9" firstHeaderRow="1" firstDataRow="1" firstDataCol="1"/>
  <pivotFields count="6">
    <pivotField axis="axisRow" subtotalTop="0" showAll="0" insertBlankRow="1" defaultSubtotal="0">
      <items count="14">
        <item m="1" x="12"/>
        <item m="1" x="10"/>
        <item m="1" x="11"/>
        <item m="1" x="6"/>
        <item m="1" x="7"/>
        <item m="1" x="8"/>
        <item m="1" x="13"/>
        <item m="1" x="9"/>
        <item x="0"/>
        <item x="1"/>
        <item x="2"/>
        <item x="3"/>
        <item x="4"/>
        <item x="5"/>
      </items>
    </pivotField>
    <pivotField subtotalTop="0" showAll="0" insertBlankRow="1" defaultSubtotal="0">
      <items count="27">
        <item m="1" x="20"/>
        <item m="1" x="15"/>
        <item m="1" x="12"/>
        <item m="1" x="13"/>
        <item m="1" x="21"/>
        <item m="1" x="26"/>
        <item m="1" x="25"/>
        <item m="1" x="24"/>
        <item m="1" x="22"/>
        <item m="1" x="23"/>
        <item m="1" x="14"/>
        <item m="1" x="16"/>
        <item m="1" x="17"/>
        <item m="1" x="18"/>
        <item m="1" x="19"/>
        <item x="0"/>
        <item x="1"/>
        <item x="3"/>
        <item x="2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0"/>
  </rowFields>
  <rowItems count="6">
    <i>
      <x v="8"/>
    </i>
    <i>
      <x v="9"/>
    </i>
    <i>
      <x v="10"/>
    </i>
    <i>
      <x v="11"/>
    </i>
    <i>
      <x v="12"/>
    </i>
    <i>
      <x v="13"/>
    </i>
  </rowItems>
  <colItems count="1">
    <i/>
  </colItems>
  <formats count="10">
    <format dxfId="30">
      <pivotArea outline="0" collapsedLevelsAreSubtotals="1" fieldPosition="0"/>
    </format>
    <format dxfId="29">
      <pivotArea field="1" type="button" dataOnly="0" labelOnly="1" outline="0"/>
    </format>
    <format dxfId="28">
      <pivotArea dataOnly="0" labelOnly="1" outline="0" axis="axisValues" fieldPosition="0"/>
    </format>
    <format dxfId="27">
      <pivotArea field="1" type="button" dataOnly="0" labelOnly="1" outline="0"/>
    </format>
    <format dxfId="26">
      <pivotArea dataOnly="0" labelOnly="1" outline="0" axis="axisValues" fieldPosition="0"/>
    </format>
    <format dxfId="25">
      <pivotArea field="1" type="button" dataOnly="0" labelOnly="1" outline="0"/>
    </format>
    <format dxfId="24">
      <pivotArea field="0" type="button" dataOnly="0" labelOnly="1" outline="0" axis="axisRow" fieldPosition="0"/>
    </format>
    <format dxfId="23">
      <pivotArea field="0" type="button" dataOnly="0" labelOnly="1" outline="0" axis="axisRow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СводнаяТаблица1" cacheId="5" applyNumberFormats="0" applyBorderFormats="0" applyFontFormats="0" applyPatternFormats="0" applyAlignmentFormats="0" applyWidthHeightFormats="1" dataCaption="Значения" updatedVersion="8" minRefreshableVersion="3" useAutoFormatting="1" rowGrandTotals="0" colGrandTotals="0" itemPrintTitles="1" createdVersion="5" indent="0" outline="1" outlineData="1" multipleFieldFilters="0" rowHeaderCaption="Выборка уникальных_x000a_Бизнес операций">
  <location ref="B15:B27" firstHeaderRow="1" firstDataRow="1" firstDataCol="1"/>
  <pivotFields count="6">
    <pivotField subtotalTop="0" showAll="0" insertBlankRow="1" defaultSubtotal="0"/>
    <pivotField axis="axisRow" subtotalTop="0" showAll="0" insertBlankRow="1" defaultSubtotal="0">
      <items count="27">
        <item m="1" x="20"/>
        <item m="1" x="15"/>
        <item m="1" x="12"/>
        <item m="1" x="13"/>
        <item m="1" x="21"/>
        <item m="1" x="26"/>
        <item m="1" x="25"/>
        <item m="1" x="24"/>
        <item m="1" x="22"/>
        <item m="1" x="23"/>
        <item m="1" x="14"/>
        <item m="1" x="16"/>
        <item m="1" x="17"/>
        <item m="1" x="18"/>
        <item m="1" x="19"/>
        <item x="0"/>
        <item x="1"/>
        <item x="3"/>
        <item x="2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1"/>
  </rowFields>
  <rowItems count="12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formats count="8">
    <format dxfId="38">
      <pivotArea outline="0" collapsedLevelsAreSubtotals="1" fieldPosition="0"/>
    </format>
    <format dxfId="37">
      <pivotArea field="1" type="button" dataOnly="0" labelOnly="1" outline="0" axis="axisRow" fieldPosition="0"/>
    </format>
    <format dxfId="36">
      <pivotArea dataOnly="0" labelOnly="1" outline="0" axis="axisValues" fieldPosition="0"/>
    </format>
    <format dxfId="35">
      <pivotArea field="1" type="button" dataOnly="0" labelOnly="1" outline="0" axis="axisRow" fieldPosition="0"/>
    </format>
    <format dxfId="34">
      <pivotArea dataOnly="0" labelOnly="1" outline="0" axis="axisValues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0"/>
        </references>
      </pivotArea>
    </format>
    <format dxfId="31">
      <pivotArea dataOnly="0" labelOnly="1" fieldPosition="0">
        <references count="1">
          <reference field="1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13" displayName="Таблица13" ref="B2:G34" totalsRowShown="0" headerRowDxfId="46" dataDxfId="45">
  <autoFilter ref="B2:G34" xr:uid="{00000000-0009-0000-0100-000002000000}"/>
  <tableColumns count="6">
    <tableColumn id="1" xr3:uid="{00000000-0010-0000-0000-000001000000}" name="Пользовательский сценарий" dataDxfId="44"/>
    <tableColumn id="2" xr3:uid="{00000000-0010-0000-0000-000002000000}" name="Бизнес операция" dataDxfId="43"/>
    <tableColumn id="3" xr3:uid="{00000000-0010-0000-0000-000003000000}" name="Количество_x000a_операций" dataDxfId="42"/>
    <tableColumn id="7" xr3:uid="{00000000-0010-0000-0000-000007000000}" name="Think time_x000a_на каждую операцию" dataDxfId="41"/>
    <tableColumn id="10" xr3:uid="{00000000-0010-0000-0000-00000A000000}" name="Интенсивность_x000a_операций в мин" dataDxfId="40">
      <calculatedColumnFormula>VLOOKUP(Таблица13[[#This Row],[Пользовательский сценарий]],Таблица3[],8,FALSE)*Таблица13[[#This Row],[Количество
операций]]</calculatedColumnFormula>
    </tableColumn>
    <tableColumn id="13" xr3:uid="{00000000-0010-0000-0000-00000D000000}" name="Интенсивность _x000a_операций в час" dataDxfId="39">
      <calculatedColumnFormula>Таблица13[[#This Row],[Интенсивность
операций в мин]]*60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Таблица3" displayName="Таблица3" ref="C3:J9" totalsRowShown="0" headerRowDxfId="20" dataDxfId="18" headerRowBorderDxfId="19" totalsRowBorderDxfId="17">
  <autoFilter ref="C3:J9" xr:uid="{00000000-0009-0000-0100-000003000000}"/>
  <tableColumns count="8">
    <tableColumn id="7" xr3:uid="{00000000-0010-0000-0100-000007000000}" name="Пользовательские сценарии" dataDxfId="16"/>
    <tableColumn id="1" xr3:uid="{00000000-0010-0000-0100-000001000000}" name="Duration" dataDxfId="15"/>
    <tableColumn id="3" xr3:uid="{00000000-0010-0000-0100-000003000000}" name="Think time_x000a_Общий на сценарий" dataDxfId="14">
      <calculatedColumnFormula>SUMIFS(Таблица13[Think time
на каждую операцию],Таблица13[Пользовательский сценарий],Таблица3[[#This Row],[Пользовательские сценарии]])</calculatedColumnFormula>
    </tableColumn>
    <tableColumn id="2" xr3:uid="{00000000-0010-0000-0100-000002000000}" name="min Pacing_x000a_(Duration + Think time)" dataDxfId="13">
      <calculatedColumnFormula>Таблица3[[#This Row],[Duration]]+Таблица3[[#This Row],[Think time
Общий на сценарий]]</calculatedColumnFormula>
    </tableColumn>
    <tableColumn id="4" xr3:uid="{00000000-0010-0000-0100-000004000000}" name="Pacing" dataDxfId="12"/>
    <tableColumn id="5" xr3:uid="{00000000-0010-0000-0100-000005000000}" name="Количество_x000a_пользователей" dataDxfId="11"/>
    <tableColumn id="10" xr3:uid="{00000000-0010-0000-0100-00000A000000}" name="Распределение_x000a_пользователей" dataDxfId="10">
      <calculatedColumnFormula>Таблица3[[#This Row],[Количество
пользователей]]/SUM(Таблица3[Количество
пользователей])</calculatedColumnFormula>
    </tableColumn>
    <tableColumn id="6" xr3:uid="{00000000-0010-0000-0100-000006000000}" name="Число выполнений_x000a_сценария в мин" dataDxfId="9">
      <calculatedColumnFormula>Таблица3[[#This Row],[Количество
пользователей]]*(60/Таблица3[[#This Row],[Pacing]])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Таблица1" displayName="Таблица1" ref="C15:G28" totalsRowShown="0" headerRowDxfId="8" dataDxfId="6" headerRowBorderDxfId="7">
  <autoFilter ref="C15:G28" xr:uid="{00000000-0009-0000-0100-000001000000}"/>
  <tableColumns count="5">
    <tableColumn id="1" xr3:uid="{00000000-0010-0000-0200-000001000000}" name="Бизнес операции" dataDxfId="5"/>
    <tableColumn id="3" xr3:uid="{00000000-0010-0000-0200-000003000000}" name="Статистическая_x000a_интенсивность_x000a_запросов в час" dataDxfId="4"/>
    <tableColumn id="2" xr3:uid="{00000000-0010-0000-0200-000002000000}" name="Расчетная_x000a_интенсивность_x000a_запросов в час" dataDxfId="3">
      <calculatedColumnFormula>SUMIFS(Таблица13[Интенсивность 
операций в час],Таблица13[Бизнес операция],Таблица1[[#This Row],[Бизнес операции]])</calculatedColumnFormula>
    </tableColumn>
    <tableColumn id="4" xr3:uid="{00000000-0010-0000-0200-000004000000}" name="Разница между_x000a_интенсивностями" dataDxfId="2">
      <calculatedColumnFormula>Таблица1[[#This Row],[Статистическая
интенсивность
запросов в час]]-Таблица1[[#This Row],[Расчетная
интенсивность
запросов в час]]</calculatedColumnFormula>
    </tableColumn>
    <tableColumn id="5" xr3:uid="{00000000-0010-0000-0200-000005000000}" name="Соотвествие_x000a_расчетной интенсивности _x000a_статистике" dataDxfId="1">
      <calculatedColumnFormula>1-Таблица1[[#This Row],[Статистическая
интенсивность
запросов в час]]/Таблица1[[#This Row],[Расчетная
интенсивность
запросов в час]]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H45"/>
  <sheetViews>
    <sheetView tabSelected="1" zoomScale="120" zoomScaleNormal="120" workbookViewId="0">
      <selection activeCell="A25" sqref="A25:XFD29"/>
    </sheetView>
  </sheetViews>
  <sheetFormatPr baseColWidth="10" defaultColWidth="8.83203125" defaultRowHeight="15" x14ac:dyDescent="0.2"/>
  <cols>
    <col min="1" max="1" width="3.1640625" customWidth="1"/>
    <col min="2" max="2" width="41.1640625" bestFit="1" customWidth="1"/>
    <col min="3" max="3" width="26" bestFit="1" customWidth="1"/>
    <col min="4" max="4" width="21" bestFit="1" customWidth="1"/>
    <col min="5" max="5" width="26.1640625" bestFit="1" customWidth="1"/>
    <col min="6" max="6" width="21.1640625" bestFit="1" customWidth="1"/>
    <col min="7" max="8" width="20.1640625" bestFit="1" customWidth="1"/>
    <col min="9" max="9" width="26" bestFit="1" customWidth="1"/>
    <col min="10" max="10" width="29.1640625" bestFit="1" customWidth="1"/>
    <col min="11" max="11" width="34" bestFit="1" customWidth="1"/>
  </cols>
  <sheetData>
    <row r="1" spans="2:8" x14ac:dyDescent="0.2">
      <c r="E1" s="1"/>
      <c r="F1" s="2"/>
      <c r="G1" s="1"/>
      <c r="H1" s="1"/>
    </row>
    <row r="2" spans="2:8" ht="32" x14ac:dyDescent="0.2">
      <c r="B2" s="3" t="s">
        <v>0</v>
      </c>
      <c r="C2" s="3" t="s">
        <v>1</v>
      </c>
      <c r="D2" s="4" t="s">
        <v>9</v>
      </c>
      <c r="E2" s="4" t="s">
        <v>7</v>
      </c>
      <c r="F2" s="4" t="s">
        <v>12</v>
      </c>
      <c r="G2" s="4" t="s">
        <v>5</v>
      </c>
    </row>
    <row r="3" spans="2:8" x14ac:dyDescent="0.2">
      <c r="B3" s="21" t="s">
        <v>22</v>
      </c>
      <c r="C3" s="21" t="s">
        <v>21</v>
      </c>
      <c r="D3" s="21">
        <v>1</v>
      </c>
      <c r="E3" s="22">
        <v>5</v>
      </c>
      <c r="F3" s="23">
        <f>VLOOKUP(Таблица13[[#This Row],[Пользовательский сценарий]],Таблица3[],8,FALSE)*Таблица13[[#This Row],[Количество
операций]]</f>
        <v>0.89552238805970152</v>
      </c>
      <c r="G3" s="15">
        <f>Таблица13[[#This Row],[Интенсивность
операций в мин]]*60</f>
        <v>53.731343283582092</v>
      </c>
    </row>
    <row r="4" spans="2:8" x14ac:dyDescent="0.2">
      <c r="B4" s="21" t="s">
        <v>22</v>
      </c>
      <c r="C4" s="21" t="s">
        <v>22</v>
      </c>
      <c r="D4" s="21">
        <v>1</v>
      </c>
      <c r="E4" s="22">
        <v>5</v>
      </c>
      <c r="F4" s="23">
        <f>VLOOKUP(Таблица13[[#This Row],[Пользовательский сценарий]],Таблица3[],8,FALSE)*Таблица13[[#This Row],[Количество
операций]]</f>
        <v>0.89552238805970152</v>
      </c>
      <c r="G4" s="15">
        <f>Таблица13[[#This Row],[Интенсивность
операций в мин]]*60</f>
        <v>53.731343283582092</v>
      </c>
    </row>
    <row r="5" spans="2:8" x14ac:dyDescent="0.2">
      <c r="B5" s="21" t="s">
        <v>22</v>
      </c>
      <c r="C5" s="35" t="s">
        <v>25</v>
      </c>
      <c r="D5" s="21">
        <v>1</v>
      </c>
      <c r="E5" s="22">
        <v>5</v>
      </c>
      <c r="F5" s="23">
        <f>VLOOKUP(Таблица13[[#This Row],[Пользовательский сценарий]],Таблица3[],8,FALSE)*Таблица13[[#This Row],[Количество
операций]]</f>
        <v>0.89552238805970152</v>
      </c>
      <c r="G5" s="15">
        <f>Таблица13[[#This Row],[Интенсивность
операций в мин]]*60</f>
        <v>53.731343283582092</v>
      </c>
    </row>
    <row r="6" spans="2:8" x14ac:dyDescent="0.2">
      <c r="B6" s="21" t="s">
        <v>22</v>
      </c>
      <c r="C6" s="21" t="s">
        <v>23</v>
      </c>
      <c r="D6" s="21">
        <v>0</v>
      </c>
      <c r="E6" s="22">
        <v>5</v>
      </c>
      <c r="F6" s="23">
        <f>VLOOKUP(Таблица13[[#This Row],[Пользовательский сценарий]],Таблица3[],8,FALSE)*Таблица13[[#This Row],[Количество
операций]]</f>
        <v>0</v>
      </c>
      <c r="G6" s="15">
        <f>Таблица13[[#This Row],[Интенсивность
операций в мин]]*60</f>
        <v>0</v>
      </c>
    </row>
    <row r="7" spans="2:8" x14ac:dyDescent="0.2">
      <c r="B7" s="21" t="s">
        <v>24</v>
      </c>
      <c r="C7" s="21" t="s">
        <v>21</v>
      </c>
      <c r="D7" s="21">
        <v>1</v>
      </c>
      <c r="E7" s="22">
        <v>5</v>
      </c>
      <c r="F7" s="23">
        <f>VLOOKUP(Таблица13[[#This Row],[Пользовательский сценарий]],Таблица3[],8,FALSE)*Таблица13[[#This Row],[Количество
операций]]</f>
        <v>1.6438356164383561</v>
      </c>
      <c r="G7" s="15">
        <f>Таблица13[[#This Row],[Интенсивность
операций в мин]]*60</f>
        <v>98.630136986301366</v>
      </c>
    </row>
    <row r="8" spans="2:8" x14ac:dyDescent="0.2">
      <c r="B8" s="21" t="s">
        <v>24</v>
      </c>
      <c r="C8" s="21" t="s">
        <v>22</v>
      </c>
      <c r="D8" s="21">
        <v>1</v>
      </c>
      <c r="E8" s="22">
        <v>5</v>
      </c>
      <c r="F8" s="23">
        <f>VLOOKUP(Таблица13[[#This Row],[Пользовательский сценарий]],Таблица3[],8,FALSE)*Таблица13[[#This Row],[Количество
операций]]</f>
        <v>1.6438356164383561</v>
      </c>
      <c r="G8" s="15">
        <f>Таблица13[[#This Row],[Интенсивность
операций в мин]]*60</f>
        <v>98.630136986301366</v>
      </c>
    </row>
    <row r="9" spans="2:8" x14ac:dyDescent="0.2">
      <c r="B9" s="21" t="s">
        <v>24</v>
      </c>
      <c r="C9" s="21" t="s">
        <v>25</v>
      </c>
      <c r="D9" s="21">
        <v>1</v>
      </c>
      <c r="E9" s="22">
        <v>5</v>
      </c>
      <c r="F9" s="23">
        <f>VLOOKUP(Таблица13[[#This Row],[Пользовательский сценарий]],Таблица3[],8,FALSE)*Таблица13[[#This Row],[Количество
операций]]</f>
        <v>1.6438356164383561</v>
      </c>
      <c r="G9" s="15">
        <f>Таблица13[[#This Row],[Интенсивность
операций в мин]]*60</f>
        <v>98.630136986301366</v>
      </c>
    </row>
    <row r="10" spans="2:8" x14ac:dyDescent="0.2">
      <c r="B10" s="21" t="s">
        <v>24</v>
      </c>
      <c r="C10" s="21" t="s">
        <v>26</v>
      </c>
      <c r="D10" s="21">
        <v>1</v>
      </c>
      <c r="E10" s="22">
        <v>5</v>
      </c>
      <c r="F10" s="23">
        <f>VLOOKUP(Таблица13[[#This Row],[Пользовательский сценарий]],Таблица3[],8,FALSE)*Таблица13[[#This Row],[Количество
операций]]</f>
        <v>1.6438356164383561</v>
      </c>
      <c r="G10" s="15">
        <f>Таблица13[[#This Row],[Интенсивность
операций в мин]]*60</f>
        <v>98.630136986301366</v>
      </c>
    </row>
    <row r="11" spans="2:8" x14ac:dyDescent="0.2">
      <c r="B11" s="21" t="s">
        <v>24</v>
      </c>
      <c r="C11" s="21" t="s">
        <v>27</v>
      </c>
      <c r="D11" s="21">
        <v>1</v>
      </c>
      <c r="E11" s="22">
        <v>5</v>
      </c>
      <c r="F11" s="23">
        <f>VLOOKUP(Таблица13[[#This Row],[Пользовательский сценарий]],Таблица3[],8,FALSE)*Таблица13[[#This Row],[Количество
операций]]</f>
        <v>1.6438356164383561</v>
      </c>
      <c r="G11" s="15">
        <f>Таблица13[[#This Row],[Интенсивность
операций в мин]]*60</f>
        <v>98.630136986301366</v>
      </c>
    </row>
    <row r="12" spans="2:8" x14ac:dyDescent="0.2">
      <c r="B12" s="21" t="s">
        <v>24</v>
      </c>
      <c r="C12" s="21" t="s">
        <v>23</v>
      </c>
      <c r="D12" s="21">
        <v>1</v>
      </c>
      <c r="E12" s="22">
        <v>5</v>
      </c>
      <c r="F12" s="23">
        <f>VLOOKUP(Таблица13[[#This Row],[Пользовательский сценарий]],Таблица3[],8,FALSE)*Таблица13[[#This Row],[Количество
операций]]</f>
        <v>1.6438356164383561</v>
      </c>
      <c r="G12" s="15">
        <f>Таблица13[[#This Row],[Интенсивность
операций в мин]]*60</f>
        <v>98.630136986301366</v>
      </c>
    </row>
    <row r="13" spans="2:8" x14ac:dyDescent="0.2">
      <c r="B13" s="21" t="s">
        <v>28</v>
      </c>
      <c r="C13" s="21" t="s">
        <v>21</v>
      </c>
      <c r="D13" s="21">
        <v>1</v>
      </c>
      <c r="E13" s="22">
        <v>5</v>
      </c>
      <c r="F13" s="23">
        <f>VLOOKUP(Таблица13[[#This Row],[Пользовательский сценарий]],Таблица3[],8,FALSE)*Таблица13[[#This Row],[Количество
операций]]</f>
        <v>2.8125</v>
      </c>
      <c r="G13" s="15">
        <f>Таблица13[[#This Row],[Интенсивность
операций в мин]]*60</f>
        <v>168.75</v>
      </c>
    </row>
    <row r="14" spans="2:8" x14ac:dyDescent="0.2">
      <c r="B14" s="21" t="s">
        <v>28</v>
      </c>
      <c r="C14" s="21" t="s">
        <v>22</v>
      </c>
      <c r="D14" s="21">
        <v>1</v>
      </c>
      <c r="E14" s="22">
        <v>5</v>
      </c>
      <c r="F14" s="23">
        <f>VLOOKUP(Таблица13[[#This Row],[Пользовательский сценарий]],Таблица3[],8,FALSE)*Таблица13[[#This Row],[Количество
операций]]</f>
        <v>2.8125</v>
      </c>
      <c r="G14" s="15">
        <f>Таблица13[[#This Row],[Интенсивность
операций в мин]]*60</f>
        <v>168.75</v>
      </c>
    </row>
    <row r="15" spans="2:8" x14ac:dyDescent="0.2">
      <c r="B15" s="21" t="s">
        <v>28</v>
      </c>
      <c r="C15" s="21" t="s">
        <v>25</v>
      </c>
      <c r="D15" s="21">
        <v>1</v>
      </c>
      <c r="E15" s="22">
        <v>5</v>
      </c>
      <c r="F15" s="23">
        <f>VLOOKUP(Таблица13[[#This Row],[Пользовательский сценарий]],Таблица3[],8,FALSE)*Таблица13[[#This Row],[Количество
операций]]</f>
        <v>2.8125</v>
      </c>
      <c r="G15" s="15">
        <f>Таблица13[[#This Row],[Интенсивность
операций в мин]]*60</f>
        <v>168.75</v>
      </c>
    </row>
    <row r="16" spans="2:8" x14ac:dyDescent="0.2">
      <c r="B16" s="21" t="s">
        <v>28</v>
      </c>
      <c r="C16" s="21" t="s">
        <v>26</v>
      </c>
      <c r="D16" s="21">
        <v>1</v>
      </c>
      <c r="E16" s="22">
        <v>5</v>
      </c>
      <c r="F16" s="23">
        <f>VLOOKUP(Таблица13[[#This Row],[Пользовательский сценарий]],Таблица3[],8,FALSE)*Таблица13[[#This Row],[Количество
операций]]</f>
        <v>2.8125</v>
      </c>
      <c r="G16" s="15">
        <f>Таблица13[[#This Row],[Интенсивность
операций в мин]]*60</f>
        <v>168.75</v>
      </c>
    </row>
    <row r="17" spans="2:7" x14ac:dyDescent="0.2">
      <c r="B17" s="21" t="s">
        <v>28</v>
      </c>
      <c r="C17" s="21" t="s">
        <v>27</v>
      </c>
      <c r="D17" s="21">
        <v>1</v>
      </c>
      <c r="E17" s="22">
        <v>5</v>
      </c>
      <c r="F17" s="23">
        <f>VLOOKUP(Таблица13[[#This Row],[Пользовательский сценарий]],Таблица3[],8,FALSE)*Таблица13[[#This Row],[Количество
операций]]</f>
        <v>2.8125</v>
      </c>
      <c r="G17" s="15">
        <f>Таблица13[[#This Row],[Интенсивность
операций в мин]]*60</f>
        <v>168.75</v>
      </c>
    </row>
    <row r="18" spans="2:7" x14ac:dyDescent="0.2">
      <c r="B18" s="21" t="s">
        <v>28</v>
      </c>
      <c r="C18" s="21" t="s">
        <v>28</v>
      </c>
      <c r="D18" s="21">
        <v>1</v>
      </c>
      <c r="E18" s="22">
        <v>5</v>
      </c>
      <c r="F18" s="23">
        <f>VLOOKUP(Таблица13[[#This Row],[Пользовательский сценарий]],Таблица3[],8,FALSE)*Таблица13[[#This Row],[Количество
операций]]</f>
        <v>2.8125</v>
      </c>
      <c r="G18" s="15">
        <f>Таблица13[[#This Row],[Интенсивность
операций в мин]]*60</f>
        <v>168.75</v>
      </c>
    </row>
    <row r="19" spans="2:7" x14ac:dyDescent="0.2">
      <c r="B19" s="21" t="s">
        <v>28</v>
      </c>
      <c r="C19" s="35" t="s">
        <v>30</v>
      </c>
      <c r="D19" s="21">
        <v>1</v>
      </c>
      <c r="E19" s="22">
        <v>5</v>
      </c>
      <c r="F19" s="23">
        <f>VLOOKUP(Таблица13[[#This Row],[Пользовательский сценарий]],Таблица3[],8,FALSE)*Таблица13[[#This Row],[Количество
операций]]</f>
        <v>2.8125</v>
      </c>
      <c r="G19" s="15">
        <f>Таблица13[[#This Row],[Интенсивность
операций в мин]]*60</f>
        <v>168.75</v>
      </c>
    </row>
    <row r="20" spans="2:7" x14ac:dyDescent="0.2">
      <c r="B20" s="21" t="s">
        <v>28</v>
      </c>
      <c r="C20" s="21" t="s">
        <v>23</v>
      </c>
      <c r="D20" s="21">
        <v>0</v>
      </c>
      <c r="E20" s="22">
        <v>5</v>
      </c>
      <c r="F20" s="23">
        <f>VLOOKUP(Таблица13[[#This Row],[Пользовательский сценарий]],Таблица3[],8,FALSE)*Таблица13[[#This Row],[Количество
операций]]</f>
        <v>0</v>
      </c>
      <c r="G20" s="15">
        <f>Таблица13[[#This Row],[Интенсивность
операций в мин]]*60</f>
        <v>0</v>
      </c>
    </row>
    <row r="21" spans="2:7" x14ac:dyDescent="0.2">
      <c r="B21" s="21" t="s">
        <v>29</v>
      </c>
      <c r="C21" s="21" t="s">
        <v>21</v>
      </c>
      <c r="D21" s="21">
        <v>1</v>
      </c>
      <c r="E21" s="22">
        <v>5</v>
      </c>
      <c r="F21" s="23">
        <f>VLOOKUP(Таблица13[[#This Row],[Пользовательский сценарий]],Таблица3[],8,FALSE)*Таблица13[[#This Row],[Количество
операций]]</f>
        <v>0.82191780821917804</v>
      </c>
      <c r="G21" s="15">
        <f>Таблица13[[#This Row],[Интенсивность
операций в мин]]*60</f>
        <v>49.315068493150683</v>
      </c>
    </row>
    <row r="22" spans="2:7" x14ac:dyDescent="0.2">
      <c r="B22" s="21" t="s">
        <v>29</v>
      </c>
      <c r="C22" s="21" t="s">
        <v>22</v>
      </c>
      <c r="D22" s="21">
        <v>1</v>
      </c>
      <c r="E22" s="22">
        <v>5</v>
      </c>
      <c r="F22" s="23">
        <f>VLOOKUP(Таблица13[[#This Row],[Пользовательский сценарий]],Таблица3[],8,FALSE)*Таблица13[[#This Row],[Количество
операций]]</f>
        <v>0.82191780821917804</v>
      </c>
      <c r="G22" s="15">
        <f>Таблица13[[#This Row],[Интенсивность
операций в мин]]*60</f>
        <v>49.315068493150683</v>
      </c>
    </row>
    <row r="23" spans="2:7" x14ac:dyDescent="0.2">
      <c r="B23" s="21" t="s">
        <v>29</v>
      </c>
      <c r="C23" s="21" t="s">
        <v>30</v>
      </c>
      <c r="D23" s="21">
        <v>1</v>
      </c>
      <c r="E23" s="22">
        <v>5</v>
      </c>
      <c r="F23" s="23">
        <f>VLOOKUP(Таблица13[[#This Row],[Пользовательский сценарий]],Таблица3[],8,FALSE)*Таблица13[[#This Row],[Количество
операций]]</f>
        <v>0.82191780821917804</v>
      </c>
      <c r="G23" s="15">
        <f>Таблица13[[#This Row],[Интенсивность
операций в мин]]*60</f>
        <v>49.315068493150683</v>
      </c>
    </row>
    <row r="24" spans="2:7" x14ac:dyDescent="0.2">
      <c r="B24" s="21" t="s">
        <v>29</v>
      </c>
      <c r="C24" s="21" t="s">
        <v>23</v>
      </c>
      <c r="D24" s="21">
        <v>1</v>
      </c>
      <c r="E24" s="22">
        <v>5</v>
      </c>
      <c r="F24" s="23">
        <f>VLOOKUP(Таблица13[[#This Row],[Пользовательский сценарий]],Таблица3[],8,FALSE)*Таблица13[[#This Row],[Количество
операций]]</f>
        <v>0.82191780821917804</v>
      </c>
      <c r="G24" s="15">
        <f>Таблица13[[#This Row],[Интенсивность
операций в мин]]*60</f>
        <v>49.315068493150683</v>
      </c>
    </row>
    <row r="25" spans="2:7" x14ac:dyDescent="0.2">
      <c r="B25" s="21" t="s">
        <v>31</v>
      </c>
      <c r="C25" s="21" t="s">
        <v>21</v>
      </c>
      <c r="D25" s="21">
        <v>1</v>
      </c>
      <c r="E25" s="22">
        <v>5</v>
      </c>
      <c r="F25" s="23">
        <f>VLOOKUP(Таблица13[[#This Row],[Пользовательский сценарий]],Таблица3[],8,FALSE)*Таблица13[[#This Row],[Количество
операций]]</f>
        <v>1.2244897959183674</v>
      </c>
      <c r="G25" s="15">
        <f>Таблица13[[#This Row],[Интенсивность
операций в мин]]*60</f>
        <v>73.469387755102048</v>
      </c>
    </row>
    <row r="26" spans="2:7" x14ac:dyDescent="0.2">
      <c r="B26" s="21" t="s">
        <v>31</v>
      </c>
      <c r="C26" s="21" t="s">
        <v>22</v>
      </c>
      <c r="D26" s="21">
        <v>1</v>
      </c>
      <c r="E26" s="22">
        <v>5</v>
      </c>
      <c r="F26" s="23">
        <f>VLOOKUP(Таблица13[[#This Row],[Пользовательский сценарий]],Таблица3[],8,FALSE)*Таблица13[[#This Row],[Количество
операций]]</f>
        <v>1.2244897959183674</v>
      </c>
      <c r="G26" s="15">
        <f>Таблица13[[#This Row],[Интенсивность
операций в мин]]*60</f>
        <v>73.469387755102048</v>
      </c>
    </row>
    <row r="27" spans="2:7" x14ac:dyDescent="0.2">
      <c r="B27" s="21" t="s">
        <v>31</v>
      </c>
      <c r="C27" s="21" t="s">
        <v>30</v>
      </c>
      <c r="D27" s="21">
        <v>1</v>
      </c>
      <c r="E27" s="22">
        <v>5</v>
      </c>
      <c r="F27" s="23">
        <f>VLOOKUP(Таблица13[[#This Row],[Пользовательский сценарий]],Таблица3[],8,FALSE)*Таблица13[[#This Row],[Количество
операций]]</f>
        <v>1.2244897959183674</v>
      </c>
      <c r="G27" s="15">
        <f>Таблица13[[#This Row],[Интенсивность
операций в мин]]*60</f>
        <v>73.469387755102048</v>
      </c>
    </row>
    <row r="28" spans="2:7" x14ac:dyDescent="0.2">
      <c r="B28" s="21" t="s">
        <v>31</v>
      </c>
      <c r="C28" s="21" t="s">
        <v>31</v>
      </c>
      <c r="D28" s="21">
        <v>1</v>
      </c>
      <c r="E28" s="22">
        <v>5</v>
      </c>
      <c r="F28" s="23">
        <f>VLOOKUP(Таблица13[[#This Row],[Пользовательский сценарий]],Таблица3[],8,FALSE)*Таблица13[[#This Row],[Количество
операций]]</f>
        <v>1.2244897959183674</v>
      </c>
      <c r="G28" s="15">
        <f>Таблица13[[#This Row],[Интенсивность
операций в мин]]*60</f>
        <v>73.469387755102048</v>
      </c>
    </row>
    <row r="29" spans="2:7" x14ac:dyDescent="0.2">
      <c r="B29" s="21" t="s">
        <v>31</v>
      </c>
      <c r="C29" s="21" t="s">
        <v>23</v>
      </c>
      <c r="D29" s="21">
        <v>1</v>
      </c>
      <c r="E29" s="22">
        <v>5</v>
      </c>
      <c r="F29" s="23">
        <f>VLOOKUP(Таблица13[[#This Row],[Пользовательский сценарий]],Таблица3[],8,FALSE)*Таблица13[[#This Row],[Количество
операций]]</f>
        <v>1.2244897959183674</v>
      </c>
      <c r="G29" s="15">
        <f>Таблица13[[#This Row],[Интенсивность
операций в мин]]*60</f>
        <v>73.469387755102048</v>
      </c>
    </row>
    <row r="30" spans="2:7" x14ac:dyDescent="0.2">
      <c r="B30" s="21" t="s">
        <v>32</v>
      </c>
      <c r="C30" s="21" t="s">
        <v>21</v>
      </c>
      <c r="D30" s="21">
        <v>1</v>
      </c>
      <c r="E30" s="22">
        <v>5</v>
      </c>
      <c r="F30" s="23">
        <f>VLOOKUP(Таблица13[[#This Row],[Пользовательский сценарий]],Таблица3[],8,FALSE)*Таблица13[[#This Row],[Количество
операций]]</f>
        <v>1.6216216216216217</v>
      </c>
      <c r="G30" s="15">
        <f>Таблица13[[#This Row],[Интенсивность
операций в мин]]*60</f>
        <v>97.297297297297305</v>
      </c>
    </row>
    <row r="31" spans="2:7" x14ac:dyDescent="0.2">
      <c r="B31" s="21" t="s">
        <v>32</v>
      </c>
      <c r="C31" s="21" t="s">
        <v>33</v>
      </c>
      <c r="D31" s="21">
        <v>1</v>
      </c>
      <c r="E31" s="22">
        <v>5</v>
      </c>
      <c r="F31" s="23">
        <f>VLOOKUP(Таблица13[[#This Row],[Пользовательский сценарий]],Таблица3[],8,FALSE)*Таблица13[[#This Row],[Количество
операций]]</f>
        <v>1.6216216216216217</v>
      </c>
      <c r="G31" s="15">
        <f>Таблица13[[#This Row],[Интенсивность
операций в мин]]*60</f>
        <v>97.297297297297305</v>
      </c>
    </row>
    <row r="32" spans="2:7" x14ac:dyDescent="0.2">
      <c r="B32" s="21" t="s">
        <v>32</v>
      </c>
      <c r="C32" s="21" t="s">
        <v>34</v>
      </c>
      <c r="D32" s="21">
        <v>1</v>
      </c>
      <c r="E32" s="22">
        <v>5</v>
      </c>
      <c r="F32" s="23">
        <f>VLOOKUP(Таблица13[[#This Row],[Пользовательский сценарий]],Таблица3[],8,FALSE)*Таблица13[[#This Row],[Количество
операций]]</f>
        <v>1.6216216216216217</v>
      </c>
      <c r="G32" s="15">
        <f>Таблица13[[#This Row],[Интенсивность
операций в мин]]*60</f>
        <v>97.297297297297305</v>
      </c>
    </row>
    <row r="33" spans="2:7" x14ac:dyDescent="0.2">
      <c r="B33" s="21" t="s">
        <v>32</v>
      </c>
      <c r="C33" s="21" t="s">
        <v>35</v>
      </c>
      <c r="D33" s="21">
        <v>1</v>
      </c>
      <c r="E33" s="22">
        <v>5</v>
      </c>
      <c r="F33" s="23">
        <f>VLOOKUP(Таблица13[[#This Row],[Пользовательский сценарий]],Таблица3[],8,FALSE)*Таблица13[[#This Row],[Количество
операций]]</f>
        <v>1.6216216216216217</v>
      </c>
      <c r="G33" s="15">
        <f>Таблица13[[#This Row],[Интенсивность
операций в мин]]*60</f>
        <v>97.297297297297305</v>
      </c>
    </row>
    <row r="34" spans="2:7" x14ac:dyDescent="0.2">
      <c r="B34" s="21" t="s">
        <v>32</v>
      </c>
      <c r="C34" s="21" t="s">
        <v>23</v>
      </c>
      <c r="D34" s="21">
        <v>1</v>
      </c>
      <c r="E34" s="22">
        <v>5</v>
      </c>
      <c r="F34" s="23">
        <f>VLOOKUP(Таблица13[[#This Row],[Пользовательский сценарий]],Таблица3[],8,FALSE)*Таблица13[[#This Row],[Количество
операций]]</f>
        <v>1.6216216216216217</v>
      </c>
      <c r="G34" s="15">
        <f>Таблица13[[#This Row],[Интенсивность
операций в мин]]*60</f>
        <v>97.297297297297305</v>
      </c>
    </row>
    <row r="37" spans="2:7" x14ac:dyDescent="0.2">
      <c r="B37" s="6"/>
      <c r="D37" s="5"/>
    </row>
    <row r="45" spans="2:7" x14ac:dyDescent="0.2">
      <c r="F45" s="5"/>
    </row>
  </sheetData>
  <dataConsolidate topLabels="1">
    <dataRefs count="1">
      <dataRef name="Таблица1"/>
    </dataRefs>
  </dataConsolidate>
  <conditionalFormatting sqref="D3:D34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J28"/>
  <sheetViews>
    <sheetView zoomScale="120" zoomScaleNormal="120" workbookViewId="0">
      <selection activeCell="C17" sqref="C17"/>
    </sheetView>
  </sheetViews>
  <sheetFormatPr baseColWidth="10" defaultColWidth="8.83203125" defaultRowHeight="15" x14ac:dyDescent="0.2"/>
  <cols>
    <col min="1" max="1" width="3.33203125" customWidth="1"/>
    <col min="2" max="2" width="23" bestFit="1" customWidth="1"/>
    <col min="3" max="3" width="41.1640625" bestFit="1" customWidth="1"/>
    <col min="4" max="4" width="33.5" bestFit="1" customWidth="1"/>
    <col min="5" max="5" width="24.5" bestFit="1" customWidth="1"/>
    <col min="6" max="6" width="28.1640625" bestFit="1" customWidth="1"/>
    <col min="7" max="7" width="19" bestFit="1" customWidth="1"/>
    <col min="8" max="8" width="20.33203125" bestFit="1" customWidth="1"/>
    <col min="9" max="9" width="20.83203125" bestFit="1" customWidth="1"/>
    <col min="10" max="10" width="23.33203125" customWidth="1"/>
  </cols>
  <sheetData>
    <row r="2" spans="2:10" x14ac:dyDescent="0.2">
      <c r="H2" s="32">
        <f>SUM(Таблица3[Количество
пользователей])</f>
        <v>10</v>
      </c>
    </row>
    <row r="3" spans="2:10" ht="48" x14ac:dyDescent="0.2">
      <c r="B3" s="7" t="s">
        <v>16</v>
      </c>
      <c r="C3" s="8" t="s">
        <v>2</v>
      </c>
      <c r="D3" s="8" t="s">
        <v>20</v>
      </c>
      <c r="E3" s="8" t="s">
        <v>4</v>
      </c>
      <c r="F3" s="8" t="s">
        <v>18</v>
      </c>
      <c r="G3" s="8" t="s">
        <v>3</v>
      </c>
      <c r="H3" s="8" t="s">
        <v>11</v>
      </c>
      <c r="I3" s="8" t="s">
        <v>10</v>
      </c>
      <c r="J3" s="8" t="s">
        <v>8</v>
      </c>
    </row>
    <row r="4" spans="2:10" x14ac:dyDescent="0.2">
      <c r="B4" s="37" t="s">
        <v>22</v>
      </c>
      <c r="C4" s="20" t="s">
        <v>22</v>
      </c>
      <c r="D4" s="33">
        <v>1.0529999999999999</v>
      </c>
      <c r="E4" s="10">
        <f>SUMIFS(Таблица13[Think time
на каждую операцию],Таблица13[Пользовательский сценарий],Таблица3[[#This Row],[Пользовательские сценарии]])</f>
        <v>20</v>
      </c>
      <c r="F4" s="10">
        <f>Таблица3[[#This Row],[Duration]]+Таблица3[[#This Row],[Think time
Общий на сценарий]]</f>
        <v>21.053000000000001</v>
      </c>
      <c r="G4" s="9">
        <v>67</v>
      </c>
      <c r="H4" s="11">
        <v>1</v>
      </c>
      <c r="I4" s="24">
        <f>Таблица3[[#This Row],[Количество
пользователей]]/SUM(Таблица3[Количество
пользователей])</f>
        <v>0.1</v>
      </c>
      <c r="J4" s="29">
        <f>Таблица3[[#This Row],[Количество
пользователей]]*(60/Таблица3[[#This Row],[Pacing]])</f>
        <v>0.89552238805970152</v>
      </c>
    </row>
    <row r="5" spans="2:10" x14ac:dyDescent="0.2">
      <c r="B5" s="37" t="s">
        <v>24</v>
      </c>
      <c r="C5" s="20" t="s">
        <v>24</v>
      </c>
      <c r="D5" s="33">
        <v>1.843</v>
      </c>
      <c r="E5" s="10">
        <f>SUMIFS(Таблица13[Think time
на каждую операцию],Таблица13[Пользовательский сценарий],Таблица3[[#This Row],[Пользовательские сценарии]])</f>
        <v>30</v>
      </c>
      <c r="F5" s="10">
        <f>Таблица3[[#This Row],[Duration]]+Таблица3[[#This Row],[Think time
Общий на сценарий]]</f>
        <v>31.843</v>
      </c>
      <c r="G5" s="9">
        <v>73</v>
      </c>
      <c r="H5" s="11">
        <v>2</v>
      </c>
      <c r="I5" s="24">
        <f>Таблица3[[#This Row],[Количество
пользователей]]/SUM(Таблица3[Количество
пользователей])</f>
        <v>0.2</v>
      </c>
      <c r="J5" s="30">
        <f>Таблица3[[#This Row],[Количество
пользователей]]*(60/Таблица3[[#This Row],[Pacing]])</f>
        <v>1.6438356164383561</v>
      </c>
    </row>
    <row r="6" spans="2:10" x14ac:dyDescent="0.2">
      <c r="B6" s="37" t="s">
        <v>28</v>
      </c>
      <c r="C6" s="20" t="s">
        <v>28</v>
      </c>
      <c r="D6" s="33">
        <v>1.84</v>
      </c>
      <c r="E6" s="10">
        <f>SUMIFS(Таблица13[Think time
на каждую операцию],Таблица13[Пользовательский сценарий],Таблица3[[#This Row],[Пользовательские сценарии]])</f>
        <v>40</v>
      </c>
      <c r="F6" s="10">
        <f>Таблица3[[#This Row],[Duration]]+Таблица3[[#This Row],[Think time
Общий на сценарий]]</f>
        <v>41.84</v>
      </c>
      <c r="G6" s="9">
        <v>64</v>
      </c>
      <c r="H6" s="11">
        <v>3</v>
      </c>
      <c r="I6" s="24">
        <f>Таблица3[[#This Row],[Количество
пользователей]]/SUM(Таблица3[Количество
пользователей])</f>
        <v>0.3</v>
      </c>
      <c r="J6" s="30">
        <f>Таблица3[[#This Row],[Количество
пользователей]]*(60/Таблица3[[#This Row],[Pacing]])</f>
        <v>2.8125</v>
      </c>
    </row>
    <row r="7" spans="2:10" x14ac:dyDescent="0.2">
      <c r="B7" s="37" t="s">
        <v>29</v>
      </c>
      <c r="C7" s="20" t="s">
        <v>29</v>
      </c>
      <c r="D7" s="34">
        <v>1.345</v>
      </c>
      <c r="E7" s="10">
        <f>SUMIFS(Таблица13[Think time
на каждую операцию],Таблица13[Пользовательский сценарий],Таблица3[[#This Row],[Пользовательские сценарии]])</f>
        <v>20</v>
      </c>
      <c r="F7" s="10">
        <f>Таблица3[[#This Row],[Duration]]+Таблица3[[#This Row],[Think time
Общий на сценарий]]</f>
        <v>21.344999999999999</v>
      </c>
      <c r="G7" s="13">
        <v>73</v>
      </c>
      <c r="H7" s="11">
        <v>1</v>
      </c>
      <c r="I7" s="25">
        <f>Таблица3[[#This Row],[Количество
пользователей]]/SUM(Таблица3[Количество
пользователей])</f>
        <v>0.1</v>
      </c>
      <c r="J7" s="31">
        <f>Таблица3[[#This Row],[Количество
пользователей]]*(60/Таблица3[[#This Row],[Pacing]])</f>
        <v>0.82191780821917804</v>
      </c>
    </row>
    <row r="8" spans="2:10" x14ac:dyDescent="0.2">
      <c r="B8" s="37" t="s">
        <v>31</v>
      </c>
      <c r="C8" s="17" t="s">
        <v>31</v>
      </c>
      <c r="D8" s="33">
        <v>1.6579999999999999</v>
      </c>
      <c r="E8" s="10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8" s="12">
        <f>Таблица3[[#This Row],[Duration]]+Таблица3[[#This Row],[Think time
Общий на сценарий]]</f>
        <v>26.658000000000001</v>
      </c>
      <c r="G8" s="9">
        <v>49</v>
      </c>
      <c r="H8" s="27">
        <v>1</v>
      </c>
      <c r="I8" s="24">
        <f>Таблица3[[#This Row],[Количество
пользователей]]/SUM(Таблица3[Количество
пользователей])</f>
        <v>0.1</v>
      </c>
      <c r="J8" s="30">
        <f>Таблица3[[#This Row],[Количество
пользователей]]*(60/Таблица3[[#This Row],[Pacing]])</f>
        <v>1.2244897959183674</v>
      </c>
    </row>
    <row r="9" spans="2:10" x14ac:dyDescent="0.2">
      <c r="B9" s="37" t="s">
        <v>32</v>
      </c>
      <c r="C9" s="18" t="s">
        <v>32</v>
      </c>
      <c r="D9" s="34">
        <v>1.228</v>
      </c>
      <c r="E9" s="26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9" s="14">
        <f>Таблица3[[#This Row],[Duration]]+Таблица3[[#This Row],[Think time
Общий на сценарий]]</f>
        <v>26.228000000000002</v>
      </c>
      <c r="G9" s="13">
        <v>74</v>
      </c>
      <c r="H9" s="28">
        <v>2</v>
      </c>
      <c r="I9" s="25">
        <f>Таблица3[[#This Row],[Количество
пользователей]]/SUM(Таблица3[Количество
пользователей])</f>
        <v>0.2</v>
      </c>
      <c r="J9" s="31">
        <f>Таблица3[[#This Row],[Количество
пользователей]]*(60/Таблица3[[#This Row],[Pacing]])</f>
        <v>1.6216216216216217</v>
      </c>
    </row>
    <row r="15" spans="2:10" ht="64" x14ac:dyDescent="0.2">
      <c r="B15" s="7" t="s">
        <v>17</v>
      </c>
      <c r="C15" s="8" t="s">
        <v>6</v>
      </c>
      <c r="D15" s="8" t="s">
        <v>15</v>
      </c>
      <c r="E15" s="8" t="s">
        <v>14</v>
      </c>
      <c r="F15" s="8" t="s">
        <v>19</v>
      </c>
      <c r="G15" s="8" t="s">
        <v>13</v>
      </c>
    </row>
    <row r="16" spans="2:10" x14ac:dyDescent="0.2">
      <c r="B16" s="38" t="s">
        <v>21</v>
      </c>
      <c r="C16" s="19" t="s">
        <v>21</v>
      </c>
      <c r="D16" s="20">
        <v>520</v>
      </c>
      <c r="E16" s="15">
        <f>SUMIFS(Таблица13[Интенсивность 
операций в час],Таблица13[Бизнес операция],Таблица1[[#This Row],[Бизнес операции]])</f>
        <v>541.19323381543359</v>
      </c>
      <c r="F16" s="15">
        <f>Таблица1[[#This Row],[Статистическая
интенсивность
запросов в час]]-Таблица1[[#This Row],[Расчетная
интенсивность
запросов в час]]</f>
        <v>-21.193233815433587</v>
      </c>
      <c r="G16" s="16">
        <f>1-Таблица1[[#This Row],[Статистическая
интенсивность
запросов в час]]/Таблица1[[#This Row],[Расчетная
интенсивность
запросов в час]]</f>
        <v>3.9160197303318878E-2</v>
      </c>
    </row>
    <row r="17" spans="2:7" x14ac:dyDescent="0.2">
      <c r="B17" s="38" t="s">
        <v>22</v>
      </c>
      <c r="C17" s="19" t="s">
        <v>22</v>
      </c>
      <c r="D17" s="20">
        <v>422</v>
      </c>
      <c r="E17" s="15">
        <f>SUMIFS(Таблица13[Интенсивность 
операций в час],Таблица13[Бизнес операция],Таблица1[[#This Row],[Бизнес операции]])</f>
        <v>443.89593651813624</v>
      </c>
      <c r="F17" s="15">
        <f>Таблица1[[#This Row],[Статистическая
интенсивность
запросов в час]]-Таблица1[[#This Row],[Расчетная
интенсивность
запросов в час]]</f>
        <v>-21.895936518136239</v>
      </c>
      <c r="G17" s="16">
        <f>1-Таблица1[[#This Row],[Статистическая
интенсивность
запросов в час]]/Таблица1[[#This Row],[Расчетная
интенсивность
запросов в час]]</f>
        <v>4.9326733400366751E-2</v>
      </c>
    </row>
    <row r="18" spans="2:7" x14ac:dyDescent="0.2">
      <c r="B18" s="38" t="s">
        <v>23</v>
      </c>
      <c r="C18" s="19" t="s">
        <v>23</v>
      </c>
      <c r="D18" s="20">
        <v>326</v>
      </c>
      <c r="E18" s="15">
        <f>SUMIFS(Таблица13[Интенсивность 
операций в час],Таблица13[Бизнес операция],Таблица1[[#This Row],[Бизнес операции]])</f>
        <v>318.7118905318514</v>
      </c>
      <c r="F18" s="15">
        <f>Таблица1[[#This Row],[Статистическая
интенсивность
запросов в час]]-Таблица1[[#This Row],[Расчетная
интенсивность
запросов в час]]</f>
        <v>7.2881094681486047</v>
      </c>
      <c r="G18" s="16">
        <f>1-Таблица1[[#This Row],[Статистическая
интенсивность
запросов в час]]/Таблица1[[#This Row],[Расчетная
интенсивность
запросов в час]]</f>
        <v>-2.2867391160042772E-2</v>
      </c>
    </row>
    <row r="19" spans="2:7" x14ac:dyDescent="0.2">
      <c r="B19" s="38" t="s">
        <v>25</v>
      </c>
      <c r="C19" s="19" t="s">
        <v>25</v>
      </c>
      <c r="D19" s="20">
        <v>305</v>
      </c>
      <c r="E19" s="15">
        <f>SUMIFS(Таблица13[Интенсивность 
операций в час],Таблица13[Бизнес операция],Таблица1[[#This Row],[Бизнес операции]])</f>
        <v>321.11148026988349</v>
      </c>
      <c r="F19" s="15">
        <f>Таблица1[[#This Row],[Статистическая
интенсивность
запросов в час]]-Таблица1[[#This Row],[Расчетная
интенсивность
запросов в час]]</f>
        <v>-16.111480269883486</v>
      </c>
      <c r="G19" s="16">
        <f>1-Таблица1[[#This Row],[Статистическая
интенсивность
запросов в час]]/Таблица1[[#This Row],[Расчетная
интенсивность
запросов в час]]</f>
        <v>5.0174102328394921E-2</v>
      </c>
    </row>
    <row r="20" spans="2:7" x14ac:dyDescent="0.2">
      <c r="B20" s="38" t="s">
        <v>26</v>
      </c>
      <c r="C20" s="19" t="s">
        <v>26</v>
      </c>
      <c r="D20" s="20">
        <v>282</v>
      </c>
      <c r="E20" s="15">
        <f>SUMIFS(Таблица13[Интенсивность 
операций в час],Таблица13[Бизнес операция],Таблица1[[#This Row],[Бизнес операции]])</f>
        <v>267.38013698630135</v>
      </c>
      <c r="F20" s="15">
        <f>Таблица1[[#This Row],[Статистическая
интенсивность
запросов в час]]-Таблица1[[#This Row],[Расчетная
интенсивность
запросов в час]]</f>
        <v>14.619863013698648</v>
      </c>
      <c r="G20" s="16">
        <f>1-Таблица1[[#This Row],[Статистическая
интенсивность
запросов в час]]/Таблица1[[#This Row],[Расчетная
интенсивность
запросов в час]]</f>
        <v>-5.4678194044188277E-2</v>
      </c>
    </row>
    <row r="21" spans="2:7" x14ac:dyDescent="0.2">
      <c r="B21" s="38" t="s">
        <v>27</v>
      </c>
      <c r="C21" s="19" t="s">
        <v>27</v>
      </c>
      <c r="D21" s="20">
        <v>270</v>
      </c>
      <c r="E21" s="15">
        <f>SUMIFS(Таблица13[Интенсивность 
операций в час],Таблица13[Бизнес операция],Таблица1[[#This Row],[Бизнес операции]])</f>
        <v>267.38013698630135</v>
      </c>
      <c r="F21" s="15">
        <f>Таблица1[[#This Row],[Статистическая
интенсивность
запросов в час]]-Таблица1[[#This Row],[Расчетная
интенсивность
запросов в час]]</f>
        <v>2.619863013698648</v>
      </c>
      <c r="G21" s="16">
        <f>1-Таблица1[[#This Row],[Статистическая
интенсивность
запросов в час]]/Таблица1[[#This Row],[Расчетная
интенсивность
запросов в час]]</f>
        <v>-9.7982708933719298E-3</v>
      </c>
    </row>
    <row r="22" spans="2:7" x14ac:dyDescent="0.2">
      <c r="B22" s="38" t="s">
        <v>28</v>
      </c>
      <c r="C22" s="19" t="s">
        <v>28</v>
      </c>
      <c r="D22" s="20">
        <v>175</v>
      </c>
      <c r="E22" s="15">
        <f>SUMIFS(Таблица13[Интенсивность 
операций в час],Таблица13[Бизнес операция],Таблица1[[#This Row],[Бизнес операции]])</f>
        <v>168.75</v>
      </c>
      <c r="F22" s="15">
        <f>Таблица1[[#This Row],[Статистическая
интенсивность
запросов в час]]-Таблица1[[#This Row],[Расчетная
интенсивность
запросов в час]]</f>
        <v>6.25</v>
      </c>
      <c r="G22" s="16">
        <f>1-Таблица1[[#This Row],[Статистическая
интенсивность
запросов в час]]/Таблица1[[#This Row],[Расчетная
интенсивность
запросов в час]]</f>
        <v>-3.7037037037036979E-2</v>
      </c>
    </row>
    <row r="23" spans="2:7" x14ac:dyDescent="0.2">
      <c r="B23" s="38" t="s">
        <v>30</v>
      </c>
      <c r="C23" s="19" t="s">
        <v>30</v>
      </c>
      <c r="D23" s="20">
        <v>280</v>
      </c>
      <c r="E23" s="15">
        <f>SUMIFS(Таблица13[Интенсивность 
операций в час],Таблица13[Бизнес операция],Таблица1[[#This Row],[Бизнес операции]])</f>
        <v>291.5344562482527</v>
      </c>
      <c r="F23" s="15">
        <f>Таблица1[[#This Row],[Статистическая
интенсивность
запросов в час]]-Таблица1[[#This Row],[Расчетная
интенсивность
запросов в час]]</f>
        <v>-11.534456248252695</v>
      </c>
      <c r="G23" s="16">
        <f>1-Таблица1[[#This Row],[Статистическая
интенсивность
запросов в час]]/Таблица1[[#This Row],[Расчетная
интенсивность
запросов в час]]</f>
        <v>3.9564641506493747E-2</v>
      </c>
    </row>
    <row r="24" spans="2:7" x14ac:dyDescent="0.2">
      <c r="B24" s="38" t="s">
        <v>31</v>
      </c>
      <c r="C24" s="19" t="s">
        <v>31</v>
      </c>
      <c r="D24" s="20">
        <v>73</v>
      </c>
      <c r="E24" s="15">
        <f>SUMIFS(Таблица13[Интенсивность 
операций в час],Таблица13[Бизнес операция],Таблица1[[#This Row],[Бизнес операции]])</f>
        <v>73.469387755102048</v>
      </c>
      <c r="F24" s="15">
        <f>Таблица1[[#This Row],[Статистическая
интенсивность
запросов в час]]-Таблица1[[#This Row],[Расчетная
интенсивность
запросов в час]]</f>
        <v>-0.46938775510204778</v>
      </c>
      <c r="G24" s="16">
        <f>1-Таблица1[[#This Row],[Статистическая
интенсивность
запросов в час]]/Таблица1[[#This Row],[Расчетная
интенсивность
запросов в час]]</f>
        <v>6.3888888888889994E-3</v>
      </c>
    </row>
    <row r="25" spans="2:7" x14ac:dyDescent="0.2">
      <c r="B25" s="38" t="s">
        <v>33</v>
      </c>
      <c r="C25" s="19" t="s">
        <v>33</v>
      </c>
      <c r="D25" s="20">
        <v>97</v>
      </c>
      <c r="E25" s="15">
        <f>SUMIFS(Таблица13[Интенсивность 
операций в час],Таблица13[Бизнес операция],Таблица1[[#This Row],[Бизнес операции]])</f>
        <v>97.297297297297305</v>
      </c>
      <c r="F25" s="15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5" s="16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6" spans="2:7" x14ac:dyDescent="0.2">
      <c r="B26" s="38" t="s">
        <v>34</v>
      </c>
      <c r="C26" s="19" t="s">
        <v>34</v>
      </c>
      <c r="D26" s="20">
        <v>97</v>
      </c>
      <c r="E26" s="15">
        <f>SUMIFS(Таблица13[Интенсивность 
операций в час],Таблица13[Бизнес операция],Таблица1[[#This Row],[Бизнес операции]])</f>
        <v>97.297297297297305</v>
      </c>
      <c r="F26" s="15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6" s="16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7" spans="2:7" x14ac:dyDescent="0.2">
      <c r="B27" s="38" t="s">
        <v>35</v>
      </c>
      <c r="C27" s="19" t="s">
        <v>35</v>
      </c>
      <c r="D27" s="20">
        <v>97</v>
      </c>
      <c r="E27" s="15">
        <f>SUMIFS(Таблица13[Интенсивность 
операций в час],Таблица13[Бизнес операция],Таблица1[[#This Row],[Бизнес операции]])</f>
        <v>97.297297297297305</v>
      </c>
      <c r="F27" s="15">
        <f>Таблица1[[#This Row],[Статистическая
интенсивность
запросов в час]]-Таблица1[[#This Row],[Расчетная
интенсивность
запросов в час]]</f>
        <v>-0.29729729729730536</v>
      </c>
      <c r="G27" s="16">
        <f>1-Таблица1[[#This Row],[Статистическая
интенсивность
запросов в час]]/Таблица1[[#This Row],[Расчетная
интенсивность
запросов в час]]</f>
        <v>3.0555555555555891E-3</v>
      </c>
    </row>
    <row r="28" spans="2:7" x14ac:dyDescent="0.2">
      <c r="C28" s="39" t="s">
        <v>36</v>
      </c>
      <c r="D28" s="40">
        <f>SUBTOTAL(109,D16:D27)</f>
        <v>2944</v>
      </c>
      <c r="E28" s="15">
        <f>SUMIFS(Таблица13[Интенсивность 
операций в час],Таблица13[Бизнес операция],Таблица1[[#This Row],[Бизнес операции]])</f>
        <v>0</v>
      </c>
      <c r="F28" s="41">
        <f>Таблица1[[#This Row],[Статистическая
интенсивность
запросов в час]]-Таблица1[[#This Row],[Расчетная
интенсивность
запросов в час]]</f>
        <v>2944</v>
      </c>
      <c r="G28" s="42" t="e">
        <f>1-Таблица1[[#This Row],[Статистическая
интенсивность
запросов в час]]/Таблица1[[#This Row],[Расчетная
интенсивность
запросов в час]]</f>
        <v>#DIV/0!</v>
      </c>
    </row>
  </sheetData>
  <conditionalFormatting sqref="G16:G2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{D4F709D9-FB4B-4790-AA96-7A22EE34A5A9}</x14:id>
        </ext>
      </extLst>
    </cfRule>
  </conditionalFormatting>
  <pageMargins left="0.7" right="0.7" top="0.75" bottom="0.75" header="0.3" footer="0.3"/>
  <pageSetup paperSize="9" orientation="portrait"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F709D9-FB4B-4790-AA96-7A22EE34A5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G16:G28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74D3-70CA-8E4F-BA8B-F4C86B4DA28D}">
  <dimension ref="A3:D15"/>
  <sheetViews>
    <sheetView zoomScale="140" zoomScaleNormal="140" workbookViewId="0">
      <selection activeCell="C3" sqref="C3:C14"/>
    </sheetView>
  </sheetViews>
  <sheetFormatPr baseColWidth="10" defaultRowHeight="15" x14ac:dyDescent="0.2"/>
  <cols>
    <col min="1" max="1" width="20.33203125" bestFit="1" customWidth="1"/>
    <col min="2" max="2" width="16" customWidth="1"/>
    <col min="3" max="3" width="13.6640625" bestFit="1" customWidth="1"/>
  </cols>
  <sheetData>
    <row r="3" spans="1:4" x14ac:dyDescent="0.2">
      <c r="A3" s="43" t="s">
        <v>21</v>
      </c>
      <c r="B3" s="44">
        <v>520</v>
      </c>
      <c r="C3" s="47">
        <f>B3/$B$15</f>
        <v>0.1766304347826087</v>
      </c>
      <c r="D3" s="36"/>
    </row>
    <row r="4" spans="1:4" x14ac:dyDescent="0.2">
      <c r="A4" s="43" t="s">
        <v>22</v>
      </c>
      <c r="B4" s="44">
        <v>422</v>
      </c>
      <c r="C4" s="47">
        <f t="shared" ref="C4:C15" si="0">B4/$B$15</f>
        <v>0.14334239130434784</v>
      </c>
      <c r="D4" s="36"/>
    </row>
    <row r="5" spans="1:4" x14ac:dyDescent="0.2">
      <c r="A5" s="43" t="s">
        <v>23</v>
      </c>
      <c r="B5" s="44">
        <v>326</v>
      </c>
      <c r="C5" s="47">
        <f t="shared" si="0"/>
        <v>0.11073369565217392</v>
      </c>
      <c r="D5" s="36"/>
    </row>
    <row r="6" spans="1:4" x14ac:dyDescent="0.2">
      <c r="A6" s="43" t="s">
        <v>25</v>
      </c>
      <c r="B6" s="44">
        <v>305</v>
      </c>
      <c r="C6" s="47">
        <f t="shared" si="0"/>
        <v>0.10360054347826086</v>
      </c>
      <c r="D6" s="36"/>
    </row>
    <row r="7" spans="1:4" x14ac:dyDescent="0.2">
      <c r="A7" s="43" t="s">
        <v>26</v>
      </c>
      <c r="B7" s="44">
        <v>282</v>
      </c>
      <c r="C7" s="47">
        <f t="shared" si="0"/>
        <v>9.5788043478260865E-2</v>
      </c>
      <c r="D7" s="36"/>
    </row>
    <row r="8" spans="1:4" x14ac:dyDescent="0.2">
      <c r="A8" s="43" t="s">
        <v>27</v>
      </c>
      <c r="B8" s="44">
        <v>270</v>
      </c>
      <c r="C8" s="47">
        <f t="shared" si="0"/>
        <v>9.1711956521739135E-2</v>
      </c>
      <c r="D8" s="36"/>
    </row>
    <row r="9" spans="1:4" x14ac:dyDescent="0.2">
      <c r="A9" s="43" t="s">
        <v>28</v>
      </c>
      <c r="B9" s="44">
        <v>175</v>
      </c>
      <c r="C9" s="47">
        <f t="shared" si="0"/>
        <v>5.9442934782608696E-2</v>
      </c>
      <c r="D9" s="36"/>
    </row>
    <row r="10" spans="1:4" x14ac:dyDescent="0.2">
      <c r="A10" s="43" t="s">
        <v>30</v>
      </c>
      <c r="B10" s="44">
        <v>280</v>
      </c>
      <c r="C10" s="47">
        <f t="shared" si="0"/>
        <v>9.5108695652173919E-2</v>
      </c>
      <c r="D10" s="36"/>
    </row>
    <row r="11" spans="1:4" x14ac:dyDescent="0.2">
      <c r="A11" s="43" t="s">
        <v>31</v>
      </c>
      <c r="B11" s="44">
        <v>73</v>
      </c>
      <c r="C11" s="47">
        <f t="shared" si="0"/>
        <v>2.4796195652173912E-2</v>
      </c>
      <c r="D11" s="36"/>
    </row>
    <row r="12" spans="1:4" x14ac:dyDescent="0.2">
      <c r="A12" s="43" t="s">
        <v>33</v>
      </c>
      <c r="B12" s="44">
        <v>97</v>
      </c>
      <c r="C12" s="47">
        <f t="shared" si="0"/>
        <v>3.2948369565217392E-2</v>
      </c>
      <c r="D12" s="36"/>
    </row>
    <row r="13" spans="1:4" x14ac:dyDescent="0.2">
      <c r="A13" s="43" t="s">
        <v>34</v>
      </c>
      <c r="B13" s="44">
        <v>97</v>
      </c>
      <c r="C13" s="47">
        <f t="shared" si="0"/>
        <v>3.2948369565217392E-2</v>
      </c>
      <c r="D13" s="36"/>
    </row>
    <row r="14" spans="1:4" x14ac:dyDescent="0.2">
      <c r="A14" s="43" t="s">
        <v>35</v>
      </c>
      <c r="B14" s="44">
        <v>97</v>
      </c>
      <c r="C14" s="47">
        <f t="shared" si="0"/>
        <v>3.2948369565217392E-2</v>
      </c>
      <c r="D14" s="36"/>
    </row>
    <row r="15" spans="1:4" x14ac:dyDescent="0.2">
      <c r="A15" s="45" t="s">
        <v>36</v>
      </c>
      <c r="B15" s="46">
        <f>SUBTOTAL(109,B3:B14)</f>
        <v>2944</v>
      </c>
      <c r="C15" s="47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Шаг 1</vt:lpstr>
      <vt:lpstr>Шаг 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Aser_i7</dc:creator>
  <cp:lastModifiedBy>a2960</cp:lastModifiedBy>
  <dcterms:created xsi:type="dcterms:W3CDTF">2024-10-14T18:56:27Z</dcterms:created>
  <dcterms:modified xsi:type="dcterms:W3CDTF">2025-05-24T19:08:17Z</dcterms:modified>
</cp:coreProperties>
</file>